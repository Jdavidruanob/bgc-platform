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2" documentId="8_{CB27F790-4E22-42C8-A183-A60242DCE2F6}" xr6:coauthVersionLast="47" xr6:coauthVersionMax="47" xr10:uidLastSave="{6362D9DA-010A-4B09-8726-C9AE0341150B}"/>
  <bookViews>
    <workbookView xWindow="-113" yWindow="-113" windowWidth="24267" windowHeight="13023" firstSheet="2" activeTab="2" xr2:uid="{00000000-000D-0000-FFFF-FFFF00000000}"/>
  </bookViews>
  <sheets>
    <sheet name="Todo" sheetId="1" r:id="rId1"/>
    <sheet name="Aportes" sheetId="2" r:id="rId2"/>
    <sheet name="Devolución 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2" l="1"/>
  <c r="G20" i="2" l="1"/>
  <c r="G44" i="1" l="1"/>
  <c r="G47" i="1" s="1"/>
  <c r="G17" i="1"/>
  <c r="G20" i="1" s="1"/>
</calcChain>
</file>

<file path=xl/sharedStrings.xml><?xml version="1.0" encoding="utf-8"?>
<sst xmlns="http://schemas.openxmlformats.org/spreadsheetml/2006/main" count="97" uniqueCount="42">
  <si>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</si>
  <si>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</si>
  <si>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</si>
  <si>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</si>
  <si>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</si>
  <si>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</si>
  <si>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MES</t>
  </si>
  <si>
    <t>VALOR</t>
  </si>
  <si>
    <t>GASTOS ADMINISTRACIÓN:</t>
  </si>
  <si>
    <t>LETRA</t>
  </si>
  <si>
    <t>CUOTA</t>
  </si>
  <si>
    <t>TOTAL A PAGAR:</t>
  </si>
  <si>
    <t>ALVARO L. BURBANO GARCÍA</t>
  </si>
  <si>
    <t>Tesorero</t>
  </si>
  <si>
    <t xml:space="preserve">MES </t>
  </si>
  <si>
    <t>APORTES:</t>
  </si>
  <si>
    <t>Sub total - Aportes y Créditos</t>
  </si>
  <si>
    <t>A P O R T E S</t>
  </si>
  <si>
    <t>C R É D I T O S :</t>
  </si>
  <si>
    <t>SOCIOS</t>
  </si>
  <si>
    <t>Abril 4 de 2014</t>
  </si>
  <si>
    <t>SIOMARA GARCÍA LUNA</t>
  </si>
  <si>
    <t>Siomara García Luna</t>
  </si>
  <si>
    <t>3a</t>
  </si>
  <si>
    <t xml:space="preserve">Recibo No. </t>
  </si>
  <si>
    <t>Por:</t>
  </si>
  <si>
    <t>Recibí de:</t>
  </si>
  <si>
    <t>SUB - TOTAL APORTE</t>
  </si>
  <si>
    <t>GASTOS DE ADMINISTRACIÓN INSCRIPCION</t>
  </si>
  <si>
    <t>TOTAL :</t>
  </si>
  <si>
    <t>LUZ MARINA BURBANO GARCIA</t>
  </si>
  <si>
    <t>Luz Marina Burbano G.</t>
  </si>
  <si>
    <t>30-A</t>
  </si>
  <si>
    <t>Enero - 16 - 2.020</t>
  </si>
  <si>
    <t>Enero</t>
  </si>
  <si>
    <t xml:space="preserve">Recibe : </t>
  </si>
  <si>
    <t>Socio:</t>
  </si>
  <si>
    <t xml:space="preserve">C.C. No.              </t>
  </si>
  <si>
    <t xml:space="preserve">Fecha:  </t>
  </si>
  <si>
    <t xml:space="preserve">Concepto                </t>
  </si>
  <si>
    <t>______________________________________</t>
  </si>
  <si>
    <t xml:space="preserve">DEVOLUCIÓN TOTAL DE APORTES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</si>
</sst>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-* #,##0_-;\-* #,##0_-;_-* &quot;-&quot;??_-;_-@_-"/>
    <numFmt numFmtId="168" formatCode="_([$$-240A]\ * #,##0_);_([$$-240A]\ * \(#,##0\);_([$$-240A]\ * &quot;-&quot;??_);_(@_)"/>
    <numFmt numFmtId="169" formatCode="_(&quot;$&quot;\ * #,##0_);_(&quot;$&quot;\ * \(#,##0\);_(&quot;$&quot;\ 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Arial Rounded MT Bold"/>
      <family val="2"/>
    </font>
    <font>
      <b/>
      <i/>
      <sz val="10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11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i/>
      <sz val="14"/>
      <color theme="6" tint="-0.499984740745262"/>
      <name val="Arial Rounded MT Bold"/>
      <family val="2"/>
    </font>
    <font>
      <sz val="11"/>
      <color theme="6" tint="-0.499984740745262"/>
      <name val="Arial Rounded MT Bold"/>
      <family val="2"/>
    </font>
    <font>
      <i/>
      <sz val="11"/>
      <color theme="6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0" xfId="0" applyBorder="1"/>
    <xf numFmtId="1" fontId="3" fillId="0" borderId="10" xfId="0" applyNumberFormat="1" applyFont="1" applyBorder="1" applyAlignment="1">
      <alignment horizontal="center"/>
    </xf>
    <xf numFmtId="0" fontId="0" fillId="0" borderId="8" xfId="0" applyBorder="1" applyAlignment="1"/>
    <xf numFmtId="0" fontId="0" fillId="0" borderId="0" xfId="0" applyBorder="1" applyAlignment="1"/>
    <xf numFmtId="0" fontId="2" fillId="0" borderId="8" xfId="0" applyFont="1" applyBorder="1" applyAlignment="1"/>
    <xf numFmtId="167" fontId="0" fillId="0" borderId="8" xfId="1" applyNumberFormat="1" applyFont="1" applyBorder="1" applyAlignment="1"/>
    <xf numFmtId="167" fontId="0" fillId="0" borderId="8" xfId="0" applyNumberFormat="1" applyBorder="1"/>
    <xf numFmtId="0" fontId="0" fillId="0" borderId="5" xfId="0" applyBorder="1"/>
    <xf numFmtId="0" fontId="0" fillId="0" borderId="0" xfId="0" applyFont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0" xfId="0" applyNumberForma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2" xfId="0" applyFon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0" fontId="2" fillId="0" borderId="10" xfId="0" applyFont="1" applyBorder="1"/>
    <xf numFmtId="0" fontId="2" fillId="0" borderId="2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4" xfId="0" applyFont="1" applyBorder="1"/>
    <xf numFmtId="0" fontId="9" fillId="0" borderId="0" xfId="0" applyFont="1" applyBorder="1"/>
    <xf numFmtId="0" fontId="9" fillId="0" borderId="8" xfId="0" applyFont="1" applyBorder="1"/>
    <xf numFmtId="1" fontId="8" fillId="0" borderId="10" xfId="0" applyNumberFormat="1" applyFont="1" applyBorder="1" applyAlignment="1">
      <alignment horizontal="center"/>
    </xf>
    <xf numFmtId="0" fontId="11" fillId="0" borderId="8" xfId="0" applyFont="1" applyBorder="1" applyAlignment="1"/>
    <xf numFmtId="0" fontId="11" fillId="0" borderId="0" xfId="0" applyFont="1" applyBorder="1"/>
    <xf numFmtId="0" fontId="11" fillId="0" borderId="8" xfId="0" applyFont="1" applyBorder="1"/>
    <xf numFmtId="0" fontId="10" fillId="0" borderId="0" xfId="0" applyFont="1" applyBorder="1" applyAlignment="1"/>
    <xf numFmtId="0" fontId="11" fillId="0" borderId="0" xfId="0" applyFont="1" applyBorder="1" applyAlignment="1"/>
    <xf numFmtId="0" fontId="10" fillId="0" borderId="8" xfId="0" applyFont="1" applyBorder="1" applyAlignment="1"/>
    <xf numFmtId="167" fontId="11" fillId="0" borderId="8" xfId="0" applyNumberFormat="1" applyFont="1" applyBorder="1"/>
    <xf numFmtId="167" fontId="11" fillId="0" borderId="8" xfId="1" applyNumberFormat="1" applyFont="1" applyBorder="1" applyAlignment="1"/>
    <xf numFmtId="167" fontId="11" fillId="0" borderId="0" xfId="1" applyNumberFormat="1" applyFont="1" applyBorder="1" applyAlignment="1"/>
    <xf numFmtId="169" fontId="11" fillId="0" borderId="0" xfId="2" applyNumberFormat="1" applyFont="1" applyBorder="1" applyAlignment="1">
      <alignment horizontal="center"/>
    </xf>
    <xf numFmtId="0" fontId="9" fillId="0" borderId="5" xfId="0" applyFont="1" applyBorder="1"/>
    <xf numFmtId="0" fontId="9" fillId="0" borderId="0" xfId="0" applyFont="1"/>
    <xf numFmtId="17" fontId="2" fillId="0" borderId="12" xfId="0" applyNumberFormat="1" applyFont="1" applyBorder="1" applyAlignment="1">
      <alignment horizontal="center"/>
    </xf>
    <xf numFmtId="17" fontId="10" fillId="0" borderId="17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8" fontId="10" fillId="0" borderId="11" xfId="1" applyNumberFormat="1" applyFont="1" applyBorder="1" applyAlignment="1">
      <alignment horizontal="center"/>
    </xf>
    <xf numFmtId="168" fontId="10" fillId="0" borderId="13" xfId="1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8" fontId="10" fillId="0" borderId="11" xfId="1" applyNumberFormat="1" applyFont="1" applyBorder="1" applyAlignment="1">
      <alignment horizontal="center"/>
    </xf>
    <xf numFmtId="168" fontId="10" fillId="0" borderId="13" xfId="1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>
      <alignment wrapText="1"/>
    </xf>
    <xf numFmtId="0" fontId="16" fillId="0" borderId="0" xfId="0" applyFont="1" applyBorder="1" applyAlignment="1"/>
    <xf numFmtId="0" fontId="15" fillId="0" borderId="10" xfId="0" applyFont="1" applyBorder="1" applyAlignment="1">
      <alignment horizontal="left"/>
    </xf>
    <xf numFmtId="0" fontId="0" fillId="0" borderId="10" xfId="0" applyBorder="1"/>
    <xf numFmtId="0" fontId="14" fillId="0" borderId="10" xfId="0" applyFont="1" applyBorder="1" applyAlignment="1">
      <alignment horizontal="left"/>
    </xf>
    <xf numFmtId="0" fontId="18" fillId="0" borderId="10" xfId="0" applyFont="1" applyBorder="1" applyAlignment="1"/>
    <xf numFmtId="0" fontId="14" fillId="0" borderId="17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0" fillId="0" borderId="23" xfId="0" applyBorder="1"/>
    <xf numFmtId="0" fontId="0" fillId="0" borderId="9" xfId="0" applyBorder="1"/>
    <xf numFmtId="0" fontId="15" fillId="0" borderId="23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6" fillId="0" borderId="9" xfId="0" applyFont="1" applyBorder="1" applyAlignment="1">
      <alignment wrapText="1"/>
    </xf>
    <xf numFmtId="0" fontId="14" fillId="0" borderId="23" xfId="0" applyFont="1" applyBorder="1"/>
    <xf numFmtId="0" fontId="16" fillId="0" borderId="23" xfId="0" applyFont="1" applyBorder="1" applyAlignment="1"/>
    <xf numFmtId="0" fontId="16" fillId="0" borderId="9" xfId="0" applyFont="1" applyBorder="1" applyAlignment="1"/>
    <xf numFmtId="0" fontId="14" fillId="0" borderId="29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5" fillId="0" borderId="10" xfId="0" applyFont="1" applyBorder="1" applyAlignment="1"/>
    <xf numFmtId="0" fontId="18" fillId="0" borderId="23" xfId="0" applyFont="1" applyBorder="1" applyAlignment="1"/>
    <xf numFmtId="0" fontId="16" fillId="0" borderId="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0" borderId="2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7" fontId="0" fillId="0" borderId="11" xfId="1" applyNumberFormat="1" applyFont="1" applyBorder="1" applyAlignment="1">
      <alignment horizontal="center"/>
    </xf>
    <xf numFmtId="167" fontId="0" fillId="0" borderId="13" xfId="1" applyNumberFormat="1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7" fontId="2" fillId="0" borderId="11" xfId="1" applyNumberFormat="1" applyFont="1" applyBorder="1" applyAlignment="1">
      <alignment horizontal="center"/>
    </xf>
    <xf numFmtId="167" fontId="2" fillId="0" borderId="13" xfId="1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67" fontId="2" fillId="0" borderId="20" xfId="1" applyNumberFormat="1" applyFont="1" applyBorder="1" applyAlignment="1">
      <alignment horizontal="center"/>
    </xf>
    <xf numFmtId="167" fontId="2" fillId="0" borderId="10" xfId="1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7" fontId="0" fillId="0" borderId="10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7" fontId="0" fillId="0" borderId="26" xfId="1" applyNumberFormat="1" applyFont="1" applyBorder="1" applyAlignment="1">
      <alignment horizontal="center"/>
    </xf>
    <xf numFmtId="167" fontId="0" fillId="0" borderId="15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9" fontId="10" fillId="0" borderId="11" xfId="2" applyNumberFormat="1" applyFont="1" applyBorder="1" applyAlignment="1">
      <alignment horizontal="center"/>
    </xf>
    <xf numFmtId="169" fontId="10" fillId="0" borderId="13" xfId="2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9" fontId="10" fillId="0" borderId="14" xfId="2" applyNumberFormat="1" applyFont="1" applyBorder="1" applyAlignment="1">
      <alignment horizontal="center"/>
    </xf>
    <xf numFmtId="169" fontId="10" fillId="0" borderId="15" xfId="2" applyNumberFormat="1" applyFont="1" applyBorder="1" applyAlignment="1">
      <alignment horizontal="center"/>
    </xf>
    <xf numFmtId="168" fontId="10" fillId="0" borderId="11" xfId="1" applyNumberFormat="1" applyFont="1" applyBorder="1" applyAlignment="1">
      <alignment horizontal="center"/>
    </xf>
    <xf numFmtId="168" fontId="10" fillId="0" borderId="13" xfId="1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14" fontId="10" fillId="0" borderId="11" xfId="0" applyNumberFormat="1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14" fontId="10" fillId="0" borderId="13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7" fontId="10" fillId="0" borderId="11" xfId="1" applyNumberFormat="1" applyFont="1" applyBorder="1" applyAlignment="1">
      <alignment horizontal="center"/>
    </xf>
    <xf numFmtId="167" fontId="10" fillId="0" borderId="13" xfId="1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17" workbookViewId="0">
      <selection sqref="A1:I50"/>
    </sheetView>
  </sheetViews>
  <sheetFormatPr baseColWidth="10" defaultRowHeight="15.05" x14ac:dyDescent="0.3"/>
  <cols>
    <col min="1" max="1" width="3" customWidth="1"/>
    <col min="8" max="8" width="17.109375" customWidth="1"/>
    <col min="9" max="9" width="3.5546875" customWidth="1"/>
  </cols>
  <sheetData>
    <row r="1" spans="1:9" x14ac:dyDescent="0.3">
      <c r="A1" s="109" t="s">
        <v>0</v>
      </c>
      <c r="B1" s="110"/>
      <c r="C1" s="110"/>
      <c r="D1" s="110"/>
      <c r="E1" s="110"/>
      <c r="F1" s="110"/>
      <c r="G1" s="110"/>
      <c r="H1" s="110"/>
      <c r="I1" s="111"/>
    </row>
    <row r="2" spans="1:9" ht="15.65" thickBot="1" x14ac:dyDescent="0.35">
      <c r="A2" s="112" t="s">
        <v>1</v>
      </c>
      <c r="B2" s="113"/>
      <c r="C2" s="113"/>
      <c r="D2" s="113"/>
      <c r="E2" s="113"/>
      <c r="F2" s="113"/>
      <c r="G2" s="113"/>
      <c r="H2" s="113"/>
      <c r="I2" s="114"/>
    </row>
    <row r="3" spans="1:9" ht="14.4" x14ac:dyDescent="0.3">
      <c r="A3" s="1"/>
      <c r="B3" s="3"/>
      <c r="C3" s="3"/>
      <c r="D3" s="3"/>
      <c r="E3" s="3"/>
      <c r="F3" s="3"/>
      <c r="G3" s="3"/>
      <c r="H3" s="3"/>
      <c r="I3" s="2"/>
    </row>
    <row r="4" spans="1:9" ht="14.4" x14ac:dyDescent="0.3">
      <c r="A4" s="1"/>
      <c r="B4" s="103" t="s">
        <v>2</v>
      </c>
      <c r="C4" s="103"/>
      <c r="D4" s="4">
        <v>91</v>
      </c>
      <c r="E4" s="18" t="s">
        <v>3</v>
      </c>
      <c r="F4" s="115" t="s">
        <v>20</v>
      </c>
      <c r="G4" s="116"/>
      <c r="H4" s="116"/>
      <c r="I4" s="5"/>
    </row>
    <row r="5" spans="1:9" ht="18.8" thickBot="1" x14ac:dyDescent="0.4">
      <c r="A5" s="1"/>
      <c r="B5" s="103" t="s">
        <v>4</v>
      </c>
      <c r="C5" s="103"/>
      <c r="D5" s="117" t="s">
        <v>21</v>
      </c>
      <c r="E5" s="118"/>
      <c r="F5" s="118"/>
      <c r="G5" s="118"/>
      <c r="H5" s="119"/>
      <c r="I5" s="7"/>
    </row>
    <row r="6" spans="1:9" ht="16.3" thickBot="1" x14ac:dyDescent="0.35">
      <c r="A6" s="1"/>
      <c r="B6" s="104" t="s">
        <v>17</v>
      </c>
      <c r="C6" s="105"/>
      <c r="D6" s="99"/>
      <c r="E6" s="99"/>
      <c r="F6" s="99"/>
      <c r="G6" s="99"/>
      <c r="H6" s="100"/>
      <c r="I6" s="2"/>
    </row>
    <row r="7" spans="1:9" ht="14.4" x14ac:dyDescent="0.3">
      <c r="A7" s="1"/>
      <c r="B7" s="107"/>
      <c r="C7" s="107"/>
      <c r="D7" s="107"/>
      <c r="E7" s="107"/>
      <c r="F7" s="107"/>
      <c r="G7" s="107"/>
      <c r="H7" s="107"/>
      <c r="I7" s="108"/>
    </row>
    <row r="8" spans="1:9" ht="14.4" x14ac:dyDescent="0.3">
      <c r="A8" s="1"/>
      <c r="B8" s="106" t="s">
        <v>5</v>
      </c>
      <c r="C8" s="106"/>
      <c r="D8" s="106"/>
      <c r="E8" s="106"/>
      <c r="F8" s="19" t="s">
        <v>6</v>
      </c>
      <c r="G8" s="102" t="s">
        <v>7</v>
      </c>
      <c r="H8" s="102"/>
      <c r="I8" s="8"/>
    </row>
    <row r="9" spans="1:9" x14ac:dyDescent="0.3">
      <c r="A9" s="1"/>
      <c r="B9" s="93" t="s">
        <v>22</v>
      </c>
      <c r="C9" s="94"/>
      <c r="D9" s="94"/>
      <c r="E9" s="95"/>
      <c r="F9" s="42">
        <v>41730</v>
      </c>
      <c r="G9" s="96">
        <v>50000</v>
      </c>
      <c r="H9" s="97"/>
      <c r="I9" s="8"/>
    </row>
    <row r="10" spans="1:9" ht="14.4" x14ac:dyDescent="0.3">
      <c r="A10" s="1"/>
      <c r="B10" s="85"/>
      <c r="C10" s="86"/>
      <c r="D10" s="86"/>
      <c r="E10" s="87"/>
      <c r="F10" s="20"/>
      <c r="G10" s="91"/>
      <c r="H10" s="92"/>
      <c r="I10" s="8"/>
    </row>
    <row r="11" spans="1:9" thickBot="1" x14ac:dyDescent="0.35">
      <c r="A11" s="1"/>
      <c r="B11" s="17"/>
      <c r="C11" s="17"/>
      <c r="D11" s="15"/>
      <c r="E11" s="14"/>
      <c r="F11" s="6"/>
      <c r="G11" s="16"/>
      <c r="H11" s="16"/>
      <c r="I11" s="8"/>
    </row>
    <row r="12" spans="1:9" ht="16.3" thickBot="1" x14ac:dyDescent="0.35">
      <c r="A12" s="1"/>
      <c r="B12" s="98" t="s">
        <v>18</v>
      </c>
      <c r="C12" s="99"/>
      <c r="D12" s="99"/>
      <c r="E12" s="99"/>
      <c r="F12" s="99"/>
      <c r="G12" s="99"/>
      <c r="H12" s="100"/>
      <c r="I12" s="9"/>
    </row>
    <row r="13" spans="1:9" ht="14.4" x14ac:dyDescent="0.3">
      <c r="A13" s="1"/>
      <c r="B13" s="88" t="s">
        <v>19</v>
      </c>
      <c r="C13" s="89"/>
      <c r="D13" s="90"/>
      <c r="E13" s="22" t="s">
        <v>9</v>
      </c>
      <c r="F13" s="22" t="s">
        <v>10</v>
      </c>
      <c r="G13" s="101" t="s">
        <v>7</v>
      </c>
      <c r="H13" s="101"/>
      <c r="I13" s="8"/>
    </row>
    <row r="14" spans="1:9" x14ac:dyDescent="0.3">
      <c r="A14" s="1"/>
      <c r="B14" s="85" t="s">
        <v>22</v>
      </c>
      <c r="C14" s="86"/>
      <c r="D14" s="87"/>
      <c r="E14" s="18">
        <v>168</v>
      </c>
      <c r="F14" s="18" t="s">
        <v>23</v>
      </c>
      <c r="G14" s="122">
        <v>152500</v>
      </c>
      <c r="H14" s="122"/>
      <c r="I14" s="8"/>
    </row>
    <row r="15" spans="1:9" ht="14.4" x14ac:dyDescent="0.3">
      <c r="A15" s="1"/>
      <c r="B15" s="85"/>
      <c r="C15" s="86"/>
      <c r="D15" s="87"/>
      <c r="E15" s="18"/>
      <c r="F15" s="13"/>
      <c r="G15" s="91"/>
      <c r="H15" s="92"/>
      <c r="I15" s="8"/>
    </row>
    <row r="16" spans="1:9" ht="14.4" x14ac:dyDescent="0.3">
      <c r="A16" s="1"/>
      <c r="B16" s="85"/>
      <c r="C16" s="86"/>
      <c r="D16" s="87"/>
      <c r="E16" s="18"/>
      <c r="F16" s="13"/>
      <c r="G16" s="91"/>
      <c r="H16" s="92"/>
      <c r="I16" s="8"/>
    </row>
    <row r="17" spans="1:9" x14ac:dyDescent="0.3">
      <c r="A17" s="1"/>
      <c r="B17" s="106" t="s">
        <v>16</v>
      </c>
      <c r="C17" s="106"/>
      <c r="D17" s="106"/>
      <c r="E17" s="106"/>
      <c r="F17" s="21"/>
      <c r="G17" s="102">
        <f>SUM(G9+G10+G14+G15+G16)</f>
        <v>202500</v>
      </c>
      <c r="H17" s="102"/>
      <c r="I17" s="8"/>
    </row>
    <row r="18" spans="1:9" thickBot="1" x14ac:dyDescent="0.35">
      <c r="A18" s="1"/>
      <c r="I18" s="5"/>
    </row>
    <row r="19" spans="1:9" ht="16.3" thickBot="1" x14ac:dyDescent="0.35">
      <c r="A19" s="1"/>
      <c r="B19" s="120" t="s">
        <v>8</v>
      </c>
      <c r="C19" s="121"/>
      <c r="D19" s="121"/>
      <c r="E19" s="121"/>
      <c r="F19" s="121"/>
      <c r="G19" s="125">
        <v>1000</v>
      </c>
      <c r="H19" s="126"/>
      <c r="I19" s="5"/>
    </row>
    <row r="20" spans="1:9" thickBot="1" x14ac:dyDescent="0.35">
      <c r="A20" s="1"/>
      <c r="B20" s="127" t="s">
        <v>11</v>
      </c>
      <c r="C20" s="123"/>
      <c r="D20" s="123"/>
      <c r="E20" s="123"/>
      <c r="F20" s="124"/>
      <c r="G20" s="128">
        <f>SUM(G17+G19)</f>
        <v>203500</v>
      </c>
      <c r="H20" s="129"/>
      <c r="I20" s="5"/>
    </row>
    <row r="21" spans="1:9" ht="14.4" x14ac:dyDescent="0.3">
      <c r="A21" s="1"/>
      <c r="B21" s="11"/>
      <c r="C21" s="11"/>
      <c r="D21" s="11"/>
      <c r="E21" s="11"/>
      <c r="F21" s="11"/>
      <c r="G21" s="12"/>
      <c r="H21" s="12"/>
      <c r="I21" s="5"/>
    </row>
    <row r="22" spans="1:9" x14ac:dyDescent="0.3">
      <c r="A22" s="1"/>
      <c r="B22" s="107" t="s">
        <v>12</v>
      </c>
      <c r="C22" s="107"/>
      <c r="D22" s="107"/>
      <c r="E22" s="107"/>
      <c r="F22" s="107"/>
      <c r="G22" s="107"/>
      <c r="H22" s="107"/>
      <c r="I22" s="108"/>
    </row>
    <row r="23" spans="1:9" thickBot="1" x14ac:dyDescent="0.35">
      <c r="A23" s="10"/>
      <c r="B23" s="123" t="s">
        <v>13</v>
      </c>
      <c r="C23" s="123"/>
      <c r="D23" s="123"/>
      <c r="E23" s="123"/>
      <c r="F23" s="123"/>
      <c r="G23" s="123"/>
      <c r="H23" s="123"/>
      <c r="I23" s="124"/>
    </row>
    <row r="27" spans="1:9" thickBot="1" x14ac:dyDescent="0.35"/>
    <row r="28" spans="1:9" x14ac:dyDescent="0.3">
      <c r="A28" s="109" t="s">
        <v>0</v>
      </c>
      <c r="B28" s="110"/>
      <c r="C28" s="110"/>
      <c r="D28" s="110"/>
      <c r="E28" s="110"/>
      <c r="F28" s="110"/>
      <c r="G28" s="110"/>
      <c r="H28" s="110"/>
      <c r="I28" s="111"/>
    </row>
    <row r="29" spans="1:9" ht="15.65" thickBot="1" x14ac:dyDescent="0.35">
      <c r="A29" s="112" t="s">
        <v>1</v>
      </c>
      <c r="B29" s="113"/>
      <c r="C29" s="113"/>
      <c r="D29" s="113"/>
      <c r="E29" s="113"/>
      <c r="F29" s="113"/>
      <c r="G29" s="113"/>
      <c r="H29" s="113"/>
      <c r="I29" s="114"/>
    </row>
    <row r="30" spans="1:9" ht="14.4" x14ac:dyDescent="0.3">
      <c r="A30" s="1"/>
      <c r="B30" s="3"/>
      <c r="C30" s="3"/>
      <c r="D30" s="3"/>
      <c r="E30" s="3"/>
      <c r="F30" s="3"/>
      <c r="G30" s="3"/>
      <c r="H30" s="3"/>
      <c r="I30" s="2"/>
    </row>
    <row r="31" spans="1:9" ht="14.4" x14ac:dyDescent="0.3">
      <c r="A31" s="1"/>
      <c r="B31" s="103" t="s">
        <v>2</v>
      </c>
      <c r="C31" s="103"/>
      <c r="D31" s="4">
        <v>91</v>
      </c>
      <c r="E31" s="18" t="s">
        <v>3</v>
      </c>
      <c r="F31" s="115" t="s">
        <v>20</v>
      </c>
      <c r="G31" s="116"/>
      <c r="H31" s="116"/>
      <c r="I31" s="5"/>
    </row>
    <row r="32" spans="1:9" ht="18.8" thickBot="1" x14ac:dyDescent="0.4">
      <c r="A32" s="1"/>
      <c r="B32" s="103" t="s">
        <v>4</v>
      </c>
      <c r="C32" s="103"/>
      <c r="D32" s="117" t="s">
        <v>21</v>
      </c>
      <c r="E32" s="118"/>
      <c r="F32" s="118"/>
      <c r="G32" s="118"/>
      <c r="H32" s="119"/>
      <c r="I32" s="7"/>
    </row>
    <row r="33" spans="1:9" ht="16.3" thickBot="1" x14ac:dyDescent="0.35">
      <c r="A33" s="1"/>
      <c r="B33" s="104" t="s">
        <v>17</v>
      </c>
      <c r="C33" s="105"/>
      <c r="D33" s="99"/>
      <c r="E33" s="99"/>
      <c r="F33" s="99"/>
      <c r="G33" s="99"/>
      <c r="H33" s="100"/>
      <c r="I33" s="2"/>
    </row>
    <row r="34" spans="1:9" x14ac:dyDescent="0.3">
      <c r="A34" s="1"/>
      <c r="B34" s="107"/>
      <c r="C34" s="107"/>
      <c r="D34" s="107"/>
      <c r="E34" s="107"/>
      <c r="F34" s="107"/>
      <c r="G34" s="107"/>
      <c r="H34" s="107"/>
      <c r="I34" s="108"/>
    </row>
    <row r="35" spans="1:9" x14ac:dyDescent="0.3">
      <c r="A35" s="1"/>
      <c r="B35" s="106" t="s">
        <v>5</v>
      </c>
      <c r="C35" s="106"/>
      <c r="D35" s="106"/>
      <c r="E35" s="106"/>
      <c r="F35" s="19" t="s">
        <v>6</v>
      </c>
      <c r="G35" s="102" t="s">
        <v>7</v>
      </c>
      <c r="H35" s="102"/>
      <c r="I35" s="8"/>
    </row>
    <row r="36" spans="1:9" x14ac:dyDescent="0.3">
      <c r="A36" s="1"/>
      <c r="B36" s="93" t="s">
        <v>22</v>
      </c>
      <c r="C36" s="94"/>
      <c r="D36" s="94"/>
      <c r="E36" s="95"/>
      <c r="F36" s="42">
        <v>41730</v>
      </c>
      <c r="G36" s="96">
        <v>50000</v>
      </c>
      <c r="H36" s="97"/>
      <c r="I36" s="8"/>
    </row>
    <row r="37" spans="1:9" x14ac:dyDescent="0.3">
      <c r="A37" s="1"/>
      <c r="B37" s="85"/>
      <c r="C37" s="86"/>
      <c r="D37" s="86"/>
      <c r="E37" s="87"/>
      <c r="F37" s="20"/>
      <c r="G37" s="91"/>
      <c r="H37" s="92"/>
      <c r="I37" s="8"/>
    </row>
    <row r="38" spans="1:9" ht="15.65" thickBot="1" x14ac:dyDescent="0.35">
      <c r="A38" s="1"/>
      <c r="B38" s="17"/>
      <c r="C38" s="17"/>
      <c r="D38" s="15"/>
      <c r="E38" s="17"/>
      <c r="F38" s="6"/>
      <c r="G38" s="16"/>
      <c r="H38" s="16"/>
      <c r="I38" s="8"/>
    </row>
    <row r="39" spans="1:9" ht="16.3" thickBot="1" x14ac:dyDescent="0.35">
      <c r="A39" s="1"/>
      <c r="B39" s="98" t="s">
        <v>18</v>
      </c>
      <c r="C39" s="99"/>
      <c r="D39" s="99"/>
      <c r="E39" s="99"/>
      <c r="F39" s="99"/>
      <c r="G39" s="99"/>
      <c r="H39" s="100"/>
      <c r="I39" s="9"/>
    </row>
    <row r="40" spans="1:9" x14ac:dyDescent="0.3">
      <c r="A40" s="1"/>
      <c r="B40" s="88" t="s">
        <v>19</v>
      </c>
      <c r="C40" s="89"/>
      <c r="D40" s="90"/>
      <c r="E40" s="22" t="s">
        <v>9</v>
      </c>
      <c r="F40" s="22" t="s">
        <v>10</v>
      </c>
      <c r="G40" s="101" t="s">
        <v>7</v>
      </c>
      <c r="H40" s="101"/>
      <c r="I40" s="8"/>
    </row>
    <row r="41" spans="1:9" x14ac:dyDescent="0.3">
      <c r="A41" s="1"/>
      <c r="B41" s="85" t="s">
        <v>22</v>
      </c>
      <c r="C41" s="86"/>
      <c r="D41" s="87"/>
      <c r="E41" s="18">
        <v>168</v>
      </c>
      <c r="F41" s="18" t="s">
        <v>23</v>
      </c>
      <c r="G41" s="122">
        <v>152500</v>
      </c>
      <c r="H41" s="122"/>
      <c r="I41" s="8"/>
    </row>
    <row r="42" spans="1:9" x14ac:dyDescent="0.3">
      <c r="A42" s="1"/>
      <c r="B42" s="85"/>
      <c r="C42" s="86"/>
      <c r="D42" s="87"/>
      <c r="E42" s="18"/>
      <c r="F42" s="18"/>
      <c r="G42" s="91"/>
      <c r="H42" s="92"/>
      <c r="I42" s="8"/>
    </row>
    <row r="43" spans="1:9" x14ac:dyDescent="0.3">
      <c r="A43" s="1"/>
      <c r="B43" s="85"/>
      <c r="C43" s="86"/>
      <c r="D43" s="87"/>
      <c r="E43" s="18"/>
      <c r="F43" s="18"/>
      <c r="G43" s="91"/>
      <c r="H43" s="92"/>
      <c r="I43" s="8"/>
    </row>
    <row r="44" spans="1:9" x14ac:dyDescent="0.3">
      <c r="A44" s="1"/>
      <c r="B44" s="106" t="s">
        <v>16</v>
      </c>
      <c r="C44" s="106"/>
      <c r="D44" s="106"/>
      <c r="E44" s="106"/>
      <c r="F44" s="21"/>
      <c r="G44" s="102">
        <f>SUM(G36+G37+G41+G42+G43)</f>
        <v>202500</v>
      </c>
      <c r="H44" s="102"/>
      <c r="I44" s="8"/>
    </row>
    <row r="45" spans="1:9" ht="15.65" thickBot="1" x14ac:dyDescent="0.35">
      <c r="A45" s="1"/>
      <c r="I45" s="5"/>
    </row>
    <row r="46" spans="1:9" ht="16.3" thickBot="1" x14ac:dyDescent="0.35">
      <c r="A46" s="1"/>
      <c r="B46" s="120" t="s">
        <v>8</v>
      </c>
      <c r="C46" s="121"/>
      <c r="D46" s="121"/>
      <c r="E46" s="121"/>
      <c r="F46" s="121"/>
      <c r="G46" s="125">
        <v>1000</v>
      </c>
      <c r="H46" s="126"/>
      <c r="I46" s="5"/>
    </row>
    <row r="47" spans="1:9" ht="15.65" thickBot="1" x14ac:dyDescent="0.35">
      <c r="A47" s="1"/>
      <c r="B47" s="127" t="s">
        <v>11</v>
      </c>
      <c r="C47" s="123"/>
      <c r="D47" s="123"/>
      <c r="E47" s="123"/>
      <c r="F47" s="124"/>
      <c r="G47" s="128">
        <f>SUM(G44+G46)</f>
        <v>203500</v>
      </c>
      <c r="H47" s="129"/>
      <c r="I47" s="5"/>
    </row>
    <row r="48" spans="1:9" x14ac:dyDescent="0.3">
      <c r="A48" s="1"/>
      <c r="B48" s="11"/>
      <c r="C48" s="11"/>
      <c r="D48" s="11"/>
      <c r="E48" s="11"/>
      <c r="F48" s="11"/>
      <c r="G48" s="12"/>
      <c r="H48" s="12"/>
      <c r="I48" s="5"/>
    </row>
    <row r="49" spans="1:9" x14ac:dyDescent="0.3">
      <c r="A49" s="1"/>
      <c r="B49" s="107" t="s">
        <v>12</v>
      </c>
      <c r="C49" s="107"/>
      <c r="D49" s="107"/>
      <c r="E49" s="107"/>
      <c r="F49" s="107"/>
      <c r="G49" s="107"/>
      <c r="H49" s="107"/>
      <c r="I49" s="108"/>
    </row>
    <row r="50" spans="1:9" ht="15.65" thickBot="1" x14ac:dyDescent="0.35">
      <c r="A50" s="10"/>
      <c r="B50" s="123" t="s">
        <v>13</v>
      </c>
      <c r="C50" s="123"/>
      <c r="D50" s="123"/>
      <c r="E50" s="123"/>
      <c r="F50" s="123"/>
      <c r="G50" s="123"/>
      <c r="H50" s="123"/>
      <c r="I50" s="124"/>
    </row>
  </sheetData>
  <mergeCells count="62">
    <mergeCell ref="B44:E44"/>
    <mergeCell ref="B46:F46"/>
    <mergeCell ref="B50:I50"/>
    <mergeCell ref="G47:H47"/>
    <mergeCell ref="B47:F47"/>
    <mergeCell ref="B49:I49"/>
    <mergeCell ref="G46:H46"/>
    <mergeCell ref="G44:H44"/>
    <mergeCell ref="G43:H43"/>
    <mergeCell ref="G41:H41"/>
    <mergeCell ref="G15:H15"/>
    <mergeCell ref="G16:H16"/>
    <mergeCell ref="B22:I22"/>
    <mergeCell ref="B23:I23"/>
    <mergeCell ref="B17:E17"/>
    <mergeCell ref="G17:H17"/>
    <mergeCell ref="G19:H19"/>
    <mergeCell ref="B20:F20"/>
    <mergeCell ref="G20:H20"/>
    <mergeCell ref="A29:I29"/>
    <mergeCell ref="B32:C32"/>
    <mergeCell ref="B15:D15"/>
    <mergeCell ref="B16:D16"/>
    <mergeCell ref="B43:D43"/>
    <mergeCell ref="B12:H12"/>
    <mergeCell ref="B14:D14"/>
    <mergeCell ref="B13:D13"/>
    <mergeCell ref="G42:H42"/>
    <mergeCell ref="B19:F19"/>
    <mergeCell ref="G13:H13"/>
    <mergeCell ref="G14:H14"/>
    <mergeCell ref="A28:I28"/>
    <mergeCell ref="B31:C31"/>
    <mergeCell ref="F31:H31"/>
    <mergeCell ref="D32:H32"/>
    <mergeCell ref="B33:H33"/>
    <mergeCell ref="B34:I34"/>
    <mergeCell ref="B35:E35"/>
    <mergeCell ref="G35:H35"/>
    <mergeCell ref="B41:D41"/>
    <mergeCell ref="A1:I1"/>
    <mergeCell ref="A2:I2"/>
    <mergeCell ref="B4:C4"/>
    <mergeCell ref="F4:H4"/>
    <mergeCell ref="D5:H5"/>
    <mergeCell ref="G8:H8"/>
    <mergeCell ref="B5:C5"/>
    <mergeCell ref="B6:H6"/>
    <mergeCell ref="B8:E8"/>
    <mergeCell ref="G10:H10"/>
    <mergeCell ref="B10:E10"/>
    <mergeCell ref="B9:E9"/>
    <mergeCell ref="B7:I7"/>
    <mergeCell ref="G9:H9"/>
    <mergeCell ref="B42:D42"/>
    <mergeCell ref="B40:D40"/>
    <mergeCell ref="G37:H37"/>
    <mergeCell ref="B36:E36"/>
    <mergeCell ref="G36:H36"/>
    <mergeCell ref="B37:E37"/>
    <mergeCell ref="B39:H39"/>
    <mergeCell ref="G40:H40"/>
  </mergeCells>
  <pageMargins left="0.9055118110236221" right="0.31496062992125984" top="0.55118110236220474" bottom="0.35433070866141736" header="0.31496062992125984" footer="0.31496062992125984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1"/>
  <sheetViews>
    <sheetView zoomScale="85" zoomScaleNormal="85" workbookViewId="0">
      <selection sqref="A1:I51"/>
    </sheetView>
  </sheetViews>
  <sheetFormatPr baseColWidth="10" defaultRowHeight="15.05" x14ac:dyDescent="0.3"/>
  <cols>
    <col min="1" max="1" width="8" customWidth="1"/>
    <col min="3" max="3" width="23.6640625" customWidth="1"/>
    <col min="5" max="5" width="11.44140625" customWidth="1"/>
    <col min="6" max="6" width="7.44140625" customWidth="1"/>
    <col min="7" max="7" width="8.88671875" customWidth="1"/>
    <col min="8" max="8" width="15.6640625" customWidth="1"/>
  </cols>
  <sheetData>
    <row r="1" spans="1:9" ht="17.55" x14ac:dyDescent="0.3">
      <c r="A1" s="150" t="s">
        <v>0</v>
      </c>
      <c r="B1" s="151"/>
      <c r="C1" s="151"/>
      <c r="D1" s="151"/>
      <c r="E1" s="151"/>
      <c r="F1" s="151"/>
      <c r="G1" s="151"/>
      <c r="H1" s="151"/>
      <c r="I1" s="152"/>
    </row>
    <row r="2" spans="1:9" ht="18.2" thickBot="1" x14ac:dyDescent="0.35">
      <c r="A2" s="153" t="s">
        <v>1</v>
      </c>
      <c r="B2" s="154"/>
      <c r="C2" s="154"/>
      <c r="D2" s="154"/>
      <c r="E2" s="154"/>
      <c r="F2" s="154"/>
      <c r="G2" s="154"/>
      <c r="H2" s="154"/>
      <c r="I2" s="155"/>
    </row>
    <row r="3" spans="1:9" ht="15.65" x14ac:dyDescent="0.3">
      <c r="A3" s="23"/>
      <c r="B3" s="24"/>
      <c r="C3" s="24"/>
      <c r="D3" s="24"/>
      <c r="E3" s="24"/>
      <c r="F3" s="24"/>
      <c r="G3" s="24"/>
      <c r="H3" s="24"/>
      <c r="I3" s="25"/>
    </row>
    <row r="4" spans="1:9" ht="14.4" x14ac:dyDescent="0.3">
      <c r="A4" s="26"/>
      <c r="B4" s="27"/>
      <c r="C4" s="27"/>
      <c r="D4" s="27"/>
      <c r="E4" s="27"/>
      <c r="F4" s="27"/>
      <c r="G4" s="27"/>
      <c r="H4" s="27"/>
      <c r="I4" s="28"/>
    </row>
    <row r="5" spans="1:9" ht="15.65" x14ac:dyDescent="0.3">
      <c r="A5" s="26"/>
      <c r="B5" s="156" t="s">
        <v>2</v>
      </c>
      <c r="C5" s="157"/>
      <c r="D5" s="29" t="s">
        <v>32</v>
      </c>
      <c r="E5" s="46"/>
      <c r="F5" s="158" t="s">
        <v>33</v>
      </c>
      <c r="G5" s="159"/>
      <c r="H5" s="160"/>
      <c r="I5" s="30"/>
    </row>
    <row r="6" spans="1:9" ht="15.65" x14ac:dyDescent="0.3">
      <c r="A6" s="26"/>
      <c r="B6" s="31"/>
      <c r="C6" s="31"/>
      <c r="D6" s="31"/>
      <c r="E6" s="31"/>
      <c r="F6" s="31"/>
      <c r="G6" s="31"/>
      <c r="H6" s="31"/>
      <c r="I6" s="32"/>
    </row>
    <row r="7" spans="1:9" ht="17.55" x14ac:dyDescent="0.3">
      <c r="A7" s="26"/>
      <c r="B7" s="33" t="s">
        <v>4</v>
      </c>
      <c r="C7" s="34"/>
      <c r="D7" s="161" t="s">
        <v>30</v>
      </c>
      <c r="E7" s="162"/>
      <c r="F7" s="162"/>
      <c r="G7" s="162"/>
      <c r="H7" s="163"/>
      <c r="I7" s="35"/>
    </row>
    <row r="8" spans="1:9" ht="16.3" thickBot="1" x14ac:dyDescent="0.35">
      <c r="A8" s="26"/>
      <c r="B8" s="31"/>
      <c r="C8" s="31"/>
      <c r="D8" s="31"/>
      <c r="E8" s="31"/>
      <c r="F8" s="31"/>
      <c r="G8" s="31"/>
      <c r="H8" s="31"/>
      <c r="I8" s="32"/>
    </row>
    <row r="9" spans="1:9" ht="16.3" thickBot="1" x14ac:dyDescent="0.35">
      <c r="A9" s="26"/>
      <c r="B9" s="143" t="s">
        <v>15</v>
      </c>
      <c r="C9" s="144"/>
      <c r="D9" s="144"/>
      <c r="E9" s="144"/>
      <c r="F9" s="144"/>
      <c r="G9" s="144"/>
      <c r="H9" s="145"/>
      <c r="I9" s="36"/>
    </row>
    <row r="10" spans="1:9" ht="15.65" x14ac:dyDescent="0.3">
      <c r="A10" s="26"/>
      <c r="B10" s="130"/>
      <c r="C10" s="130"/>
      <c r="D10" s="130"/>
      <c r="E10" s="130"/>
      <c r="F10" s="130"/>
      <c r="G10" s="130"/>
      <c r="H10" s="130"/>
      <c r="I10" s="131"/>
    </row>
    <row r="11" spans="1:9" ht="15.65" x14ac:dyDescent="0.3">
      <c r="A11" s="26"/>
      <c r="B11" s="137" t="s">
        <v>5</v>
      </c>
      <c r="C11" s="139"/>
      <c r="D11" s="137" t="s">
        <v>14</v>
      </c>
      <c r="E11" s="138"/>
      <c r="F11" s="139"/>
      <c r="G11" s="164" t="s">
        <v>7</v>
      </c>
      <c r="H11" s="165"/>
      <c r="I11" s="37"/>
    </row>
    <row r="12" spans="1:9" ht="15.65" x14ac:dyDescent="0.3">
      <c r="A12" s="26"/>
      <c r="B12" s="137" t="s">
        <v>31</v>
      </c>
      <c r="C12" s="139"/>
      <c r="D12" s="134" t="s">
        <v>34</v>
      </c>
      <c r="E12" s="135"/>
      <c r="F12" s="136"/>
      <c r="G12" s="148">
        <v>11190000</v>
      </c>
      <c r="H12" s="149"/>
      <c r="I12" s="37"/>
    </row>
    <row r="13" spans="1:9" ht="15.65" x14ac:dyDescent="0.3">
      <c r="A13" s="26"/>
      <c r="B13" s="137"/>
      <c r="C13" s="139"/>
      <c r="D13" s="134"/>
      <c r="E13" s="135"/>
      <c r="F13" s="136"/>
      <c r="G13" s="148"/>
      <c r="H13" s="149"/>
      <c r="I13" s="37"/>
    </row>
    <row r="14" spans="1:9" ht="15.65" x14ac:dyDescent="0.3">
      <c r="A14" s="26"/>
      <c r="B14" s="137"/>
      <c r="C14" s="139"/>
      <c r="D14" s="134"/>
      <c r="E14" s="135"/>
      <c r="F14" s="136"/>
      <c r="G14" s="148"/>
      <c r="H14" s="149"/>
      <c r="I14" s="37"/>
    </row>
    <row r="15" spans="1:9" ht="15.65" x14ac:dyDescent="0.3">
      <c r="A15" s="26"/>
      <c r="B15" s="137"/>
      <c r="C15" s="139"/>
      <c r="D15" s="134"/>
      <c r="E15" s="135"/>
      <c r="F15" s="136"/>
      <c r="G15" s="148"/>
      <c r="H15" s="149"/>
      <c r="I15" s="37"/>
    </row>
    <row r="16" spans="1:9" ht="15.65" x14ac:dyDescent="0.3">
      <c r="A16" s="26"/>
      <c r="B16" s="47"/>
      <c r="C16" s="48"/>
      <c r="D16" s="43"/>
      <c r="E16" s="44"/>
      <c r="F16" s="48"/>
      <c r="G16" s="49"/>
      <c r="H16" s="50"/>
      <c r="I16" s="37"/>
    </row>
    <row r="17" spans="1:9" ht="15.65" x14ac:dyDescent="0.3">
      <c r="A17" s="26"/>
      <c r="B17" s="47"/>
      <c r="C17" s="48" t="s">
        <v>27</v>
      </c>
      <c r="D17" s="43"/>
      <c r="E17" s="44"/>
      <c r="F17" s="48"/>
      <c r="G17" s="148">
        <v>11190000</v>
      </c>
      <c r="H17" s="149"/>
      <c r="I17" s="37"/>
    </row>
    <row r="18" spans="1:9" ht="15.65" x14ac:dyDescent="0.3">
      <c r="A18" s="26"/>
      <c r="B18" s="137" t="s">
        <v>28</v>
      </c>
      <c r="C18" s="138"/>
      <c r="D18" s="138"/>
      <c r="E18" s="138"/>
      <c r="F18" s="139"/>
      <c r="G18" s="140"/>
      <c r="H18" s="141"/>
      <c r="I18" s="37"/>
    </row>
    <row r="19" spans="1:9" ht="16.3" thickBot="1" x14ac:dyDescent="0.35">
      <c r="A19" s="26"/>
      <c r="B19" s="142"/>
      <c r="C19" s="142"/>
      <c r="D19" s="45"/>
      <c r="E19" s="45"/>
      <c r="F19" s="31"/>
      <c r="G19" s="38"/>
      <c r="H19" s="38"/>
      <c r="I19" s="37"/>
    </row>
    <row r="20" spans="1:9" ht="16.3" thickBot="1" x14ac:dyDescent="0.35">
      <c r="A20" s="26"/>
      <c r="B20" s="143" t="s">
        <v>29</v>
      </c>
      <c r="C20" s="144"/>
      <c r="D20" s="144"/>
      <c r="E20" s="144"/>
      <c r="F20" s="145"/>
      <c r="G20" s="146">
        <f>SUM(G17:I18)</f>
        <v>11190000</v>
      </c>
      <c r="H20" s="147"/>
      <c r="I20" s="30"/>
    </row>
    <row r="21" spans="1:9" ht="15.65" x14ac:dyDescent="0.3">
      <c r="A21" s="26"/>
      <c r="B21" s="46"/>
      <c r="C21" s="46"/>
      <c r="D21" s="46"/>
      <c r="E21" s="46"/>
      <c r="F21" s="46"/>
      <c r="G21" s="39"/>
      <c r="H21" s="39"/>
      <c r="I21" s="30"/>
    </row>
    <row r="22" spans="1:9" ht="15.65" x14ac:dyDescent="0.3">
      <c r="A22" s="26"/>
      <c r="B22" s="31"/>
      <c r="C22" s="31"/>
      <c r="D22" s="31"/>
      <c r="E22" s="31"/>
      <c r="F22" s="31"/>
      <c r="G22" s="31"/>
      <c r="H22" s="31"/>
      <c r="I22" s="32"/>
    </row>
    <row r="23" spans="1:9" ht="15.65" x14ac:dyDescent="0.3">
      <c r="A23" s="26"/>
      <c r="B23" s="130" t="s">
        <v>12</v>
      </c>
      <c r="C23" s="130"/>
      <c r="D23" s="130"/>
      <c r="E23" s="130"/>
      <c r="F23" s="130"/>
      <c r="G23" s="130"/>
      <c r="H23" s="130"/>
      <c r="I23" s="131"/>
    </row>
    <row r="24" spans="1:9" ht="16.3" thickBot="1" x14ac:dyDescent="0.35">
      <c r="A24" s="40"/>
      <c r="B24" s="132" t="s">
        <v>13</v>
      </c>
      <c r="C24" s="132"/>
      <c r="D24" s="132"/>
      <c r="E24" s="132"/>
      <c r="F24" s="132"/>
      <c r="G24" s="132"/>
      <c r="H24" s="132"/>
      <c r="I24" s="133"/>
    </row>
    <row r="25" spans="1:9" x14ac:dyDescent="0.3">
      <c r="A25" s="41"/>
      <c r="B25" s="41"/>
      <c r="C25" s="41"/>
      <c r="D25" s="41"/>
      <c r="E25" s="41"/>
      <c r="F25" s="41"/>
      <c r="G25" s="41"/>
      <c r="H25" s="41"/>
      <c r="I25" s="41"/>
    </row>
    <row r="27" spans="1:9" ht="15.65" thickBot="1" x14ac:dyDescent="0.35"/>
    <row r="28" spans="1:9" ht="17.55" x14ac:dyDescent="0.3">
      <c r="A28" s="150" t="s">
        <v>0</v>
      </c>
      <c r="B28" s="151"/>
      <c r="C28" s="151"/>
      <c r="D28" s="151"/>
      <c r="E28" s="151"/>
      <c r="F28" s="151"/>
      <c r="G28" s="151"/>
      <c r="H28" s="151"/>
      <c r="I28" s="152"/>
    </row>
    <row r="29" spans="1:9" ht="18.2" thickBot="1" x14ac:dyDescent="0.35">
      <c r="A29" s="153" t="s">
        <v>1</v>
      </c>
      <c r="B29" s="154"/>
      <c r="C29" s="154"/>
      <c r="D29" s="154"/>
      <c r="E29" s="154"/>
      <c r="F29" s="154"/>
      <c r="G29" s="154"/>
      <c r="H29" s="154"/>
      <c r="I29" s="155"/>
    </row>
    <row r="30" spans="1:9" ht="15.65" x14ac:dyDescent="0.3">
      <c r="A30" s="23"/>
      <c r="B30" s="24"/>
      <c r="C30" s="24"/>
      <c r="D30" s="24"/>
      <c r="E30" s="24"/>
      <c r="F30" s="24"/>
      <c r="G30" s="24"/>
      <c r="H30" s="24"/>
      <c r="I30" s="25"/>
    </row>
    <row r="31" spans="1:9" x14ac:dyDescent="0.3">
      <c r="A31" s="26"/>
      <c r="B31" s="27"/>
      <c r="C31" s="27"/>
      <c r="D31" s="27"/>
      <c r="E31" s="27"/>
      <c r="F31" s="27"/>
      <c r="G31" s="27"/>
      <c r="H31" s="27"/>
      <c r="I31" s="28"/>
    </row>
    <row r="32" spans="1:9" ht="15.65" x14ac:dyDescent="0.3">
      <c r="A32" s="26"/>
      <c r="B32" s="156" t="s">
        <v>2</v>
      </c>
      <c r="C32" s="157"/>
      <c r="D32" s="29" t="s">
        <v>32</v>
      </c>
      <c r="E32" s="51"/>
      <c r="F32" s="158" t="s">
        <v>33</v>
      </c>
      <c r="G32" s="159"/>
      <c r="H32" s="160"/>
      <c r="I32" s="30"/>
    </row>
    <row r="33" spans="1:9" ht="15.65" x14ac:dyDescent="0.3">
      <c r="A33" s="26"/>
      <c r="B33" s="31"/>
      <c r="C33" s="31"/>
      <c r="D33" s="31"/>
      <c r="E33" s="31"/>
      <c r="F33" s="31"/>
      <c r="G33" s="31"/>
      <c r="H33" s="31"/>
      <c r="I33" s="32"/>
    </row>
    <row r="34" spans="1:9" ht="17.55" x14ac:dyDescent="0.3">
      <c r="A34" s="26"/>
      <c r="B34" s="33" t="s">
        <v>4</v>
      </c>
      <c r="C34" s="34"/>
      <c r="D34" s="161" t="s">
        <v>30</v>
      </c>
      <c r="E34" s="162"/>
      <c r="F34" s="162"/>
      <c r="G34" s="162"/>
      <c r="H34" s="163"/>
      <c r="I34" s="35"/>
    </row>
    <row r="35" spans="1:9" ht="16.3" thickBot="1" x14ac:dyDescent="0.35">
      <c r="A35" s="26"/>
      <c r="B35" s="31"/>
      <c r="C35" s="31"/>
      <c r="D35" s="31"/>
      <c r="E35" s="31"/>
      <c r="F35" s="31"/>
      <c r="G35" s="31"/>
      <c r="H35" s="31"/>
      <c r="I35" s="32"/>
    </row>
    <row r="36" spans="1:9" ht="16.3" thickBot="1" x14ac:dyDescent="0.35">
      <c r="A36" s="26"/>
      <c r="B36" s="143" t="s">
        <v>15</v>
      </c>
      <c r="C36" s="144"/>
      <c r="D36" s="144"/>
      <c r="E36" s="144"/>
      <c r="F36" s="144"/>
      <c r="G36" s="144"/>
      <c r="H36" s="145"/>
      <c r="I36" s="36"/>
    </row>
    <row r="37" spans="1:9" ht="15.65" x14ac:dyDescent="0.3">
      <c r="A37" s="26"/>
      <c r="B37" s="130"/>
      <c r="C37" s="130"/>
      <c r="D37" s="130"/>
      <c r="E37" s="130"/>
      <c r="F37" s="130"/>
      <c r="G37" s="130"/>
      <c r="H37" s="130"/>
      <c r="I37" s="131"/>
    </row>
    <row r="38" spans="1:9" ht="15.65" x14ac:dyDescent="0.3">
      <c r="A38" s="26"/>
      <c r="B38" s="137" t="s">
        <v>5</v>
      </c>
      <c r="C38" s="139"/>
      <c r="D38" s="137" t="s">
        <v>14</v>
      </c>
      <c r="E38" s="138"/>
      <c r="F38" s="139"/>
      <c r="G38" s="164" t="s">
        <v>7</v>
      </c>
      <c r="H38" s="165"/>
      <c r="I38" s="37"/>
    </row>
    <row r="39" spans="1:9" ht="15.65" x14ac:dyDescent="0.3">
      <c r="A39" s="26"/>
      <c r="B39" s="137" t="s">
        <v>31</v>
      </c>
      <c r="C39" s="139"/>
      <c r="D39" s="134" t="s">
        <v>34</v>
      </c>
      <c r="E39" s="135"/>
      <c r="F39" s="136"/>
      <c r="G39" s="148">
        <v>11190000</v>
      </c>
      <c r="H39" s="149"/>
      <c r="I39" s="37"/>
    </row>
    <row r="40" spans="1:9" ht="15.65" x14ac:dyDescent="0.3">
      <c r="A40" s="26"/>
      <c r="B40" s="137"/>
      <c r="C40" s="139"/>
      <c r="D40" s="134"/>
      <c r="E40" s="135"/>
      <c r="F40" s="136"/>
      <c r="G40" s="148"/>
      <c r="H40" s="149"/>
      <c r="I40" s="37"/>
    </row>
    <row r="41" spans="1:9" ht="15.65" x14ac:dyDescent="0.3">
      <c r="A41" s="26"/>
      <c r="B41" s="137"/>
      <c r="C41" s="139"/>
      <c r="D41" s="134"/>
      <c r="E41" s="135"/>
      <c r="F41" s="136"/>
      <c r="G41" s="148"/>
      <c r="H41" s="149"/>
      <c r="I41" s="37"/>
    </row>
    <row r="42" spans="1:9" ht="15.65" x14ac:dyDescent="0.3">
      <c r="A42" s="26"/>
      <c r="B42" s="137"/>
      <c r="C42" s="139"/>
      <c r="D42" s="134"/>
      <c r="E42" s="135"/>
      <c r="F42" s="136"/>
      <c r="G42" s="148"/>
      <c r="H42" s="149"/>
      <c r="I42" s="37"/>
    </row>
    <row r="43" spans="1:9" ht="15.65" x14ac:dyDescent="0.3">
      <c r="A43" s="26"/>
      <c r="B43" s="52"/>
      <c r="C43" s="53"/>
      <c r="D43" s="43"/>
      <c r="E43" s="44"/>
      <c r="F43" s="53"/>
      <c r="G43" s="54"/>
      <c r="H43" s="55"/>
      <c r="I43" s="37"/>
    </row>
    <row r="44" spans="1:9" ht="15.65" x14ac:dyDescent="0.3">
      <c r="A44" s="26"/>
      <c r="B44" s="52"/>
      <c r="C44" s="53" t="s">
        <v>27</v>
      </c>
      <c r="D44" s="43"/>
      <c r="E44" s="44"/>
      <c r="F44" s="53"/>
      <c r="G44" s="148">
        <v>11190000</v>
      </c>
      <c r="H44" s="149"/>
      <c r="I44" s="37"/>
    </row>
    <row r="45" spans="1:9" ht="15.65" x14ac:dyDescent="0.3">
      <c r="A45" s="26"/>
      <c r="B45" s="137" t="s">
        <v>28</v>
      </c>
      <c r="C45" s="138"/>
      <c r="D45" s="138"/>
      <c r="E45" s="138"/>
      <c r="F45" s="139"/>
      <c r="G45" s="140"/>
      <c r="H45" s="141"/>
      <c r="I45" s="37"/>
    </row>
    <row r="46" spans="1:9" ht="16.3" thickBot="1" x14ac:dyDescent="0.35">
      <c r="A46" s="26"/>
      <c r="B46" s="142"/>
      <c r="C46" s="142"/>
      <c r="D46" s="45"/>
      <c r="E46" s="45"/>
      <c r="F46" s="31"/>
      <c r="G46" s="38"/>
      <c r="H46" s="38"/>
      <c r="I46" s="37"/>
    </row>
    <row r="47" spans="1:9" ht="16.3" thickBot="1" x14ac:dyDescent="0.35">
      <c r="A47" s="26"/>
      <c r="B47" s="143" t="s">
        <v>29</v>
      </c>
      <c r="C47" s="144"/>
      <c r="D47" s="144"/>
      <c r="E47" s="144"/>
      <c r="F47" s="145"/>
      <c r="G47" s="146">
        <f>SUM(G44:I45)</f>
        <v>11190000</v>
      </c>
      <c r="H47" s="147"/>
      <c r="I47" s="30"/>
    </row>
    <row r="48" spans="1:9" ht="15.65" x14ac:dyDescent="0.3">
      <c r="A48" s="26"/>
      <c r="B48" s="51"/>
      <c r="C48" s="51"/>
      <c r="D48" s="51"/>
      <c r="E48" s="51"/>
      <c r="F48" s="51"/>
      <c r="G48" s="39"/>
      <c r="H48" s="39"/>
      <c r="I48" s="30"/>
    </row>
    <row r="49" spans="1:9" ht="15.65" x14ac:dyDescent="0.3">
      <c r="A49" s="26"/>
      <c r="B49" s="31"/>
      <c r="C49" s="31"/>
      <c r="D49" s="31"/>
      <c r="E49" s="31"/>
      <c r="F49" s="31"/>
      <c r="G49" s="31"/>
      <c r="H49" s="31"/>
      <c r="I49" s="32"/>
    </row>
    <row r="50" spans="1:9" ht="15.65" x14ac:dyDescent="0.3">
      <c r="A50" s="26"/>
      <c r="B50" s="130" t="s">
        <v>12</v>
      </c>
      <c r="C50" s="130"/>
      <c r="D50" s="130"/>
      <c r="E50" s="130"/>
      <c r="F50" s="130"/>
      <c r="G50" s="130"/>
      <c r="H50" s="130"/>
      <c r="I50" s="131"/>
    </row>
    <row r="51" spans="1:9" ht="16.3" thickBot="1" x14ac:dyDescent="0.35">
      <c r="A51" s="40"/>
      <c r="B51" s="132" t="s">
        <v>13</v>
      </c>
      <c r="C51" s="132"/>
      <c r="D51" s="132"/>
      <c r="E51" s="132"/>
      <c r="F51" s="132"/>
      <c r="G51" s="132"/>
      <c r="H51" s="132"/>
      <c r="I51" s="133"/>
    </row>
  </sheetData>
  <mergeCells count="60">
    <mergeCell ref="G17:H17"/>
    <mergeCell ref="G44:H44"/>
    <mergeCell ref="B9:H9"/>
    <mergeCell ref="A1:I1"/>
    <mergeCell ref="A2:I2"/>
    <mergeCell ref="B5:C5"/>
    <mergeCell ref="F5:H5"/>
    <mergeCell ref="D7:H7"/>
    <mergeCell ref="B10:I10"/>
    <mergeCell ref="B11:C11"/>
    <mergeCell ref="G11:H11"/>
    <mergeCell ref="G12:H12"/>
    <mergeCell ref="B19:C19"/>
    <mergeCell ref="G18:H18"/>
    <mergeCell ref="D11:F11"/>
    <mergeCell ref="D12:F12"/>
    <mergeCell ref="B12:C12"/>
    <mergeCell ref="G14:H14"/>
    <mergeCell ref="G15:H15"/>
    <mergeCell ref="G13:H13"/>
    <mergeCell ref="D13:F13"/>
    <mergeCell ref="B13:C13"/>
    <mergeCell ref="B14:C14"/>
    <mergeCell ref="B15:C15"/>
    <mergeCell ref="D14:F14"/>
    <mergeCell ref="D15:F15"/>
    <mergeCell ref="B20:F20"/>
    <mergeCell ref="G20:H20"/>
    <mergeCell ref="D39:F39"/>
    <mergeCell ref="G40:H40"/>
    <mergeCell ref="B18:F18"/>
    <mergeCell ref="G38:H38"/>
    <mergeCell ref="B39:C39"/>
    <mergeCell ref="G39:H39"/>
    <mergeCell ref="B38:C38"/>
    <mergeCell ref="D38:F38"/>
    <mergeCell ref="B23:I23"/>
    <mergeCell ref="B24:I24"/>
    <mergeCell ref="B41:C41"/>
    <mergeCell ref="G42:H42"/>
    <mergeCell ref="A28:I28"/>
    <mergeCell ref="A29:I29"/>
    <mergeCell ref="B32:C32"/>
    <mergeCell ref="F32:H32"/>
    <mergeCell ref="D34:H34"/>
    <mergeCell ref="B36:H36"/>
    <mergeCell ref="B37:I37"/>
    <mergeCell ref="B40:C40"/>
    <mergeCell ref="D40:F40"/>
    <mergeCell ref="D41:F41"/>
    <mergeCell ref="G41:H41"/>
    <mergeCell ref="B42:C42"/>
    <mergeCell ref="B50:I50"/>
    <mergeCell ref="B51:I51"/>
    <mergeCell ref="D42:F42"/>
    <mergeCell ref="B45:F45"/>
    <mergeCell ref="G45:H45"/>
    <mergeCell ref="B46:C46"/>
    <mergeCell ref="B47:F47"/>
    <mergeCell ref="G47:H47"/>
  </mergeCells>
  <pageMargins left="0.9055118110236221" right="0.70866141732283472" top="1.1417322834645669" bottom="0.94488188976377963" header="0.70866141732283472" footer="0.51181102362204722"/>
  <pageSetup paperSize="9" scale="77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tabSelected="1" workbookViewId="0">
      <selection activeCell="M13" sqref="M13"/>
    </sheetView>
  </sheetViews>
  <sheetFormatPr baseColWidth="10" defaultRowHeight="15.05" x14ac:dyDescent="0.3"/>
  <cols>
    <col min="1" max="1" width="16.109375" customWidth="1"/>
    <col min="3" max="3" width="9.44140625" customWidth="1"/>
    <col min="4" max="4" width="9.33203125" customWidth="1"/>
    <col min="5" max="5" width="8.33203125" customWidth="1"/>
    <col min="7" max="7" width="16.33203125" customWidth="1"/>
  </cols>
  <sheetData>
    <row r="1" spans="1:7" x14ac:dyDescent="0.3">
      <c r="A1" s="65"/>
      <c r="B1" s="66"/>
      <c r="C1" s="66"/>
      <c r="D1" s="66"/>
      <c r="E1" s="66"/>
      <c r="F1" s="66"/>
      <c r="G1" s="67"/>
    </row>
    <row r="2" spans="1:7" ht="17.55" x14ac:dyDescent="0.3">
      <c r="A2" s="172" t="s">
        <v>0</v>
      </c>
      <c r="B2" s="173"/>
      <c r="C2" s="173"/>
      <c r="D2" s="173"/>
      <c r="E2" s="173"/>
      <c r="F2" s="173"/>
      <c r="G2" s="174"/>
    </row>
    <row r="3" spans="1:7" x14ac:dyDescent="0.3">
      <c r="A3" s="175" t="s">
        <v>1</v>
      </c>
      <c r="B3" s="176"/>
      <c r="C3" s="176"/>
      <c r="D3" s="176"/>
      <c r="E3" s="176"/>
      <c r="F3" s="176"/>
      <c r="G3" s="177"/>
    </row>
    <row r="4" spans="1:7" x14ac:dyDescent="0.3">
      <c r="A4" s="68"/>
      <c r="B4" s="56"/>
      <c r="C4" s="56"/>
      <c r="D4" s="56"/>
      <c r="E4" s="56"/>
      <c r="F4" s="56"/>
      <c r="G4" s="69"/>
    </row>
    <row r="5" spans="1:7" ht="15.65" x14ac:dyDescent="0.3">
      <c r="A5" s="61" t="s">
        <v>24</v>
      </c>
      <c r="B5" s="57"/>
      <c r="C5" s="58"/>
      <c r="D5" s="58"/>
      <c r="E5" s="61" t="s">
        <v>25</v>
      </c>
      <c r="F5" s="178"/>
      <c r="G5" s="179"/>
    </row>
    <row r="6" spans="1:7" x14ac:dyDescent="0.3">
      <c r="A6" s="70"/>
      <c r="B6" s="3"/>
      <c r="C6" s="3"/>
      <c r="D6" s="3"/>
      <c r="E6" s="3"/>
      <c r="F6" s="3"/>
      <c r="G6" s="71"/>
    </row>
    <row r="7" spans="1:7" ht="15.65" x14ac:dyDescent="0.3">
      <c r="A7" s="81" t="s">
        <v>38</v>
      </c>
      <c r="B7" s="169"/>
      <c r="C7" s="170"/>
      <c r="D7" s="170"/>
      <c r="E7" s="170"/>
      <c r="F7" s="170"/>
      <c r="G7" s="171"/>
    </row>
    <row r="8" spans="1:7" ht="15.65" x14ac:dyDescent="0.3">
      <c r="A8" s="72"/>
      <c r="B8" s="58"/>
      <c r="C8" s="58"/>
      <c r="D8" s="58"/>
      <c r="E8" s="58"/>
      <c r="F8" s="58"/>
      <c r="G8" s="73"/>
    </row>
    <row r="9" spans="1:7" ht="15.65" x14ac:dyDescent="0.3">
      <c r="A9" s="62" t="s">
        <v>36</v>
      </c>
      <c r="B9" s="181"/>
      <c r="C9" s="181"/>
      <c r="D9" s="181"/>
      <c r="E9" s="181"/>
      <c r="F9" s="181"/>
      <c r="G9" s="181"/>
    </row>
    <row r="10" spans="1:7" x14ac:dyDescent="0.3">
      <c r="A10" s="68"/>
      <c r="B10" s="56"/>
      <c r="C10" s="56"/>
      <c r="D10" s="56"/>
      <c r="E10" s="56"/>
      <c r="F10" s="56"/>
      <c r="G10" s="69"/>
    </row>
    <row r="11" spans="1:7" ht="18.2" x14ac:dyDescent="0.35">
      <c r="A11" s="63" t="s">
        <v>26</v>
      </c>
      <c r="B11" s="180" t="s">
        <v>0</v>
      </c>
      <c r="C11" s="180"/>
      <c r="D11" s="180"/>
      <c r="E11" s="180"/>
      <c r="F11" s="180"/>
      <c r="G11" s="180"/>
    </row>
    <row r="12" spans="1:7" x14ac:dyDescent="0.3">
      <c r="A12" s="68"/>
      <c r="B12" s="56"/>
      <c r="C12" s="56"/>
      <c r="D12" s="56"/>
      <c r="E12" s="56"/>
      <c r="F12" s="56"/>
      <c r="G12" s="69"/>
    </row>
    <row r="13" spans="1:7" ht="15.65" customHeight="1" x14ac:dyDescent="0.3">
      <c r="A13" s="64" t="s">
        <v>39</v>
      </c>
      <c r="B13" s="169" t="s">
        <v>41</v>
      </c>
      <c r="C13" s="170"/>
      <c r="D13" s="170"/>
      <c r="E13" s="170"/>
      <c r="F13" s="170"/>
      <c r="G13" s="171"/>
    </row>
    <row r="14" spans="1:7" ht="15.65" customHeight="1" x14ac:dyDescent="0.3">
      <c r="A14" s="82"/>
      <c r="B14" s="83"/>
      <c r="C14" s="83"/>
      <c r="D14" s="83"/>
      <c r="E14" s="83"/>
      <c r="F14" s="83"/>
      <c r="G14" s="84"/>
    </row>
    <row r="15" spans="1:7" ht="15.65" customHeight="1" x14ac:dyDescent="0.3">
      <c r="A15" s="68"/>
      <c r="B15" s="56"/>
      <c r="C15" s="59"/>
      <c r="D15" s="59"/>
      <c r="E15" s="59"/>
      <c r="F15" s="59"/>
      <c r="G15" s="74"/>
    </row>
    <row r="16" spans="1:7" ht="15.65" x14ac:dyDescent="0.3">
      <c r="A16" s="68" t="s">
        <v>35</v>
      </c>
      <c r="B16" s="56"/>
      <c r="C16" s="58"/>
      <c r="D16" s="58"/>
      <c r="E16" s="58"/>
      <c r="F16" s="58"/>
      <c r="G16" s="73"/>
    </row>
    <row r="17" spans="1:7" x14ac:dyDescent="0.3">
      <c r="A17" s="75"/>
      <c r="B17" s="56"/>
      <c r="C17" s="166" t="s">
        <v>40</v>
      </c>
      <c r="D17" s="166"/>
      <c r="E17" s="166"/>
      <c r="F17" s="166"/>
      <c r="G17" s="69"/>
    </row>
    <row r="18" spans="1:7" ht="15.65" x14ac:dyDescent="0.3">
      <c r="A18" s="76"/>
      <c r="B18" s="60"/>
      <c r="C18" s="167" t="s">
        <v>37</v>
      </c>
      <c r="D18" s="168"/>
      <c r="E18" s="168"/>
      <c r="F18" s="168"/>
      <c r="G18" s="77"/>
    </row>
    <row r="19" spans="1:7" x14ac:dyDescent="0.3">
      <c r="A19" s="78"/>
      <c r="B19" s="79"/>
      <c r="C19" s="79"/>
      <c r="D19" s="79"/>
      <c r="E19" s="79"/>
      <c r="F19" s="79"/>
      <c r="G19" s="80"/>
    </row>
    <row r="20" spans="1:7" x14ac:dyDescent="0.3">
      <c r="A20" s="56"/>
      <c r="B20" s="56"/>
      <c r="C20" s="56"/>
      <c r="D20" s="56"/>
      <c r="E20" s="56"/>
      <c r="F20" s="56"/>
      <c r="G20" s="56"/>
    </row>
    <row r="21" spans="1:7" x14ac:dyDescent="0.3">
      <c r="A21" s="56"/>
      <c r="B21" s="56"/>
      <c r="C21" s="56"/>
      <c r="D21" s="56"/>
      <c r="E21" s="56"/>
      <c r="F21" s="56"/>
      <c r="G21" s="56"/>
    </row>
  </sheetData>
  <mergeCells count="9">
    <mergeCell ref="C17:F17"/>
    <mergeCell ref="C18:F18"/>
    <mergeCell ref="B13:G13"/>
    <mergeCell ref="A2:G2"/>
    <mergeCell ref="A3:G3"/>
    <mergeCell ref="F5:G5"/>
    <mergeCell ref="B11:G11"/>
    <mergeCell ref="B9:G9"/>
    <mergeCell ref="B7:G7"/>
  </mergeCells>
  <pageMargins left="1.1023622047244095" right="0.70866141732283472" top="0.74803149606299213" bottom="0.94488188976377963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</vt:lpstr>
      <vt:lpstr>Aportes</vt:lpstr>
      <vt:lpstr>Devolución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2026-07-24T17:11:25Z</dcterms:modified>
</cp:coreProperties>
</file>